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2. KE TOAN\1. VIEN THXD\NAM 2024\4. BC TRƯỜNG\"/>
    </mc:Choice>
  </mc:AlternateContent>
  <xr:revisionPtr revIDLastSave="0" documentId="13_ncr:1_{979F6A3D-1DB3-4372-85F6-811ABB9BA221}" xr6:coauthVersionLast="47" xr6:coauthVersionMax="47" xr10:uidLastSave="{00000000-0000-0000-0000-000000000000}"/>
  <bookViews>
    <workbookView xWindow="-120" yWindow="-120" windowWidth="29040" windowHeight="15840" activeTab="2" xr2:uid="{02211715-C8EB-4A3F-A5C0-857A553A2EF5}"/>
  </bookViews>
  <sheets>
    <sheet name="BCTC TH B01" sheetId="3" r:id="rId1"/>
    <sheet name="BCKQHĐ TH B02" sheetId="2" r:id="rId2"/>
    <sheet name="BCLCTT TH B03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2" l="1"/>
  <c r="E24" i="2"/>
  <c r="F42" i="3"/>
  <c r="E42" i="3"/>
  <c r="E31" i="3"/>
  <c r="F22" i="3"/>
  <c r="E22" i="3"/>
  <c r="F34" i="1" l="1"/>
  <c r="F27" i="1"/>
  <c r="F21" i="1"/>
  <c r="F35" i="1" l="1"/>
  <c r="F17" i="2" l="1"/>
  <c r="E21" i="1" l="1"/>
  <c r="E35" i="1" s="1"/>
  <c r="F21" i="2"/>
  <c r="E17" i="2"/>
  <c r="E21" i="2" s="1"/>
  <c r="E27" i="1"/>
  <c r="E29" i="2"/>
  <c r="F33" i="2"/>
  <c r="E25" i="2"/>
  <c r="F25" i="2"/>
  <c r="E34" i="1"/>
  <c r="E33" i="2"/>
  <c r="F29" i="2"/>
  <c r="E33" i="3"/>
  <c r="F33" i="3"/>
  <c r="E21" i="3"/>
  <c r="E36" i="2" l="1"/>
  <c r="F36" i="2"/>
  <c r="F48" i="3"/>
  <c r="F21" i="3"/>
  <c r="F31" i="3" s="1"/>
  <c r="E48" i="3"/>
  <c r="F49" i="3" l="1"/>
  <c r="E49" i="3"/>
</calcChain>
</file>

<file path=xl/sharedStrings.xml><?xml version="1.0" encoding="utf-8"?>
<sst xmlns="http://schemas.openxmlformats.org/spreadsheetml/2006/main" count="206" uniqueCount="143">
  <si>
    <t>Mẫu số B01/BCTC-TH</t>
  </si>
  <si>
    <t xml:space="preserve">(Ban hành kèm theo Thông tư số </t>
  </si>
  <si>
    <t>99/2018/TT-BTC ngày 01/11/2018</t>
  </si>
  <si>
    <t>của Bộ Tài chính)</t>
  </si>
  <si>
    <t xml:space="preserve">BÁO CÁO TÌNH HÌNH TÀI CHÍNH TỔNG HỢP </t>
  </si>
  <si>
    <t>STT</t>
  </si>
  <si>
    <t>Chỉ tiêu</t>
  </si>
  <si>
    <t>Mã số</t>
  </si>
  <si>
    <t>Thuyết minh</t>
  </si>
  <si>
    <t>Số cuối năm</t>
  </si>
  <si>
    <t>Số đầu năm</t>
  </si>
  <si>
    <t>A</t>
  </si>
  <si>
    <t>B</t>
  </si>
  <si>
    <t>C</t>
  </si>
  <si>
    <t>D</t>
  </si>
  <si>
    <t>TÀI SẢN</t>
  </si>
  <si>
    <t>I</t>
  </si>
  <si>
    <t xml:space="preserve">Tiền </t>
  </si>
  <si>
    <t>II</t>
  </si>
  <si>
    <t>Đầu tư tài chính ngắn hạn</t>
  </si>
  <si>
    <t>III</t>
  </si>
  <si>
    <t xml:space="preserve">Các khoản phải thu </t>
  </si>
  <si>
    <t xml:space="preserve">Phải thu khách hàng </t>
  </si>
  <si>
    <t>Trả trước cho người bán</t>
  </si>
  <si>
    <t>Các khoản phải thu khác</t>
  </si>
  <si>
    <t>IV</t>
  </si>
  <si>
    <t>Hàng tồn kho</t>
  </si>
  <si>
    <t>V</t>
  </si>
  <si>
    <t>Đầu tư tài chính dài hạn</t>
  </si>
  <si>
    <t>VI</t>
  </si>
  <si>
    <t>Tài sản cố định trang bị cho đơn vị</t>
  </si>
  <si>
    <t>Tài sản cố định hữu hình</t>
  </si>
  <si>
    <t>- Nguyên giá</t>
  </si>
  <si>
    <t>- Khấu hao và hao mòn lũy kế</t>
  </si>
  <si>
    <t>Tài sản cố định vô hình</t>
  </si>
  <si>
    <t>VII</t>
  </si>
  <si>
    <t>Xây dựng cơ bản dở dang</t>
  </si>
  <si>
    <t>VIII</t>
  </si>
  <si>
    <t>Tài sản khác</t>
  </si>
  <si>
    <t>IX</t>
  </si>
  <si>
    <t>Tài sản thuần của đơn vị thực hiện CĐKT khác</t>
  </si>
  <si>
    <t>TỔNG CỘNG TÀI SẢN</t>
  </si>
  <si>
    <t>NGUỒN VỐN</t>
  </si>
  <si>
    <t xml:space="preserve">I </t>
  </si>
  <si>
    <t>Nợ phải trả</t>
  </si>
  <si>
    <t>Phải trả nhà cung cấp</t>
  </si>
  <si>
    <t>Các khoản nhận trước của khách hàng</t>
  </si>
  <si>
    <t>Phải trả nợ vay</t>
  </si>
  <si>
    <t>Tạm thu</t>
  </si>
  <si>
    <t xml:space="preserve">Các quỹ đặc thù </t>
  </si>
  <si>
    <t>Các khoản nhận trước chưa ghi thu</t>
  </si>
  <si>
    <t>Nợ phải trả khác</t>
  </si>
  <si>
    <t>Tài sản thuần</t>
  </si>
  <si>
    <t>Nguồn vốn kinh doanh</t>
  </si>
  <si>
    <t>Thặng dư/thâm hụt lũy kế</t>
  </si>
  <si>
    <t xml:space="preserve">Các quỹ </t>
  </si>
  <si>
    <t>Tài sản thuần khác</t>
  </si>
  <si>
    <t>TỔNG CỘNG NGUỒN VỐN</t>
  </si>
  <si>
    <t>NGƯỜI KIỂM SOÁT</t>
  </si>
  <si>
    <t>(Ký, họ tên)</t>
  </si>
  <si>
    <t xml:space="preserve">                                                                           Đơn vị tính:đồng</t>
  </si>
  <si>
    <t xml:space="preserve">     NGƯỜI LẬP BIỂU</t>
  </si>
  <si>
    <t xml:space="preserve">          (Ký, họ tên)</t>
  </si>
  <si>
    <t xml:space="preserve">           THỦ TRƯỞNG ĐƠN VỊ</t>
  </si>
  <si>
    <t xml:space="preserve">          (Ký, họ tên, đóng dấu)</t>
  </si>
  <si>
    <t>Mã chương: 022</t>
  </si>
  <si>
    <t>Mẫu số B02/BCTC-TH</t>
  </si>
  <si>
    <t>BÁO CÁO KẾT QUẢ HOẠT ĐỘNG TỔNG HỢP</t>
  </si>
  <si>
    <t>Đơn vị tính:đồng</t>
  </si>
  <si>
    <t>Năm nay</t>
  </si>
  <si>
    <t>Năm trước</t>
  </si>
  <si>
    <t>Hoạt động hành chính, sự nghiệp</t>
  </si>
  <si>
    <t>Doanh thu</t>
  </si>
  <si>
    <t>a. Từ NSNN</t>
  </si>
  <si>
    <t>b. Từ nguồn viện trợ, vay nợ nước ngoài</t>
  </si>
  <si>
    <t xml:space="preserve">c. Từ nguồn phí được khấu trừ, để lại </t>
  </si>
  <si>
    <t>Chi phí</t>
  </si>
  <si>
    <t>a. Chi phí hoạt động</t>
  </si>
  <si>
    <t>b. Chi phí từ nguồn viện trợ, vay nợ nước ngoài</t>
  </si>
  <si>
    <t>c. Chi phí hoạt động thu phí</t>
  </si>
  <si>
    <t>Thặng dư/thâm hụt</t>
  </si>
  <si>
    <t xml:space="preserve">Hoạt động sản xuất kinh doanh, dịch vụ  </t>
  </si>
  <si>
    <t xml:space="preserve">Hoạt động tài chính </t>
  </si>
  <si>
    <t xml:space="preserve">Hoạt động khác </t>
  </si>
  <si>
    <t>Thu nhập khác</t>
  </si>
  <si>
    <t>Chi phí khác</t>
  </si>
  <si>
    <t>Chi phí thuế TNDN</t>
  </si>
  <si>
    <t>Thặng dư/thâm hụt trong năm của đơn vị thực hiện CĐKT khác</t>
  </si>
  <si>
    <t xml:space="preserve">Thặng dư/thâm hụt trong năm </t>
  </si>
  <si>
    <t>Sử dụng kinh phí tiết kiệm của các đơn vị hành chính</t>
  </si>
  <si>
    <t>Phân phối cho các quỹ</t>
  </si>
  <si>
    <t>Kinh phí cải cách tiền lương</t>
  </si>
  <si>
    <t>Phân phối khác</t>
  </si>
  <si>
    <t>Mẫu số B03/BCTC-TH</t>
  </si>
  <si>
    <t>BÁO CÁO LƯU CHUYỂN TIỀN TỆ TỔNG HỢP</t>
  </si>
  <si>
    <t>(Theo phương pháp gián tiếp)</t>
  </si>
  <si>
    <t>LƯU CHUYỂN TIỀN TỪ HOẠT ĐỘNG CHÍNH</t>
  </si>
  <si>
    <t xml:space="preserve">Điều chỉnh cho các khoản </t>
  </si>
  <si>
    <t>Khấu hao TSCĐ trong năm</t>
  </si>
  <si>
    <t>Tăng/giảm các khoản nợ phải trả</t>
  </si>
  <si>
    <t>Tăng/giảm hàng tồn kho</t>
  </si>
  <si>
    <t>Tăng/giảm các khoản phải thu</t>
  </si>
  <si>
    <t>Thu khác từ hoạt động chính</t>
  </si>
  <si>
    <t>Chi khác từ hoạt động chính</t>
  </si>
  <si>
    <t xml:space="preserve">Lưu chuyển tiền thuần từ hoạt động chính </t>
  </si>
  <si>
    <t>LƯU CHUYỂN TIỀN TỪ HOẠT ĐỘNG ĐẦU TƯ</t>
  </si>
  <si>
    <t>Tiền thu từ thanh lý tài sản cố định</t>
  </si>
  <si>
    <t>Tiền thu từ các khoản đầu tư</t>
  </si>
  <si>
    <t>Tiền chi XDCB, mua tài sản cố định</t>
  </si>
  <si>
    <t>Tiền chi đầu tư góp vốn vào các đơn vị khác</t>
  </si>
  <si>
    <t>Lưu chuyển tiền thuần từ hoạt động đầu tư</t>
  </si>
  <si>
    <t>LƯU CHUYỂN TIỀN TỪ HOẠT ĐỘNG TÀI CHÍNH</t>
  </si>
  <si>
    <t>Tiền thu từ các khoản đi vay</t>
  </si>
  <si>
    <t xml:space="preserve">Tiền nhận vốn góp </t>
  </si>
  <si>
    <t>Tiền hoàn trả gốc vay</t>
  </si>
  <si>
    <t>Tiền hoàn trả vốn góp</t>
  </si>
  <si>
    <t>Tiền cổ tức/lợi nhuận đã trả cho chủ sở hữu</t>
  </si>
  <si>
    <t>Lưu chuyển tiền thuần từ hoạt động tài chính</t>
  </si>
  <si>
    <t>Lưu chuyển tiền thuần trong năm</t>
  </si>
  <si>
    <t>Số dư tiền đầu năm</t>
  </si>
  <si>
    <t>Ảnh hưởng của chênh lệch tỷ giá</t>
  </si>
  <si>
    <t>Số dư tiền cuối năm</t>
  </si>
  <si>
    <t xml:space="preserve">       NGƯỜI LẬP BIỂU</t>
  </si>
  <si>
    <t xml:space="preserve">   NGƯỜI KIỂM SOÁT</t>
  </si>
  <si>
    <t xml:space="preserve">                   THỦ TRƯỞNG ĐƠN VỊ</t>
  </si>
  <si>
    <t xml:space="preserve">             (Ký, họ tên)</t>
  </si>
  <si>
    <t xml:space="preserve">                  (Ký, họ tên, đóng dấu)</t>
  </si>
  <si>
    <t>Thuế và các khoản phải nộp Nhà nước</t>
  </si>
  <si>
    <t>TRƯỜNG ĐẠI HỌC XÂY DỰNG HÀ NỘI</t>
  </si>
  <si>
    <t xml:space="preserve">       BỘ GIÁO DỤC VÀ ĐÀO TẠO</t>
  </si>
  <si>
    <t xml:space="preserve">                                      THỦ TRƯỞNG ĐƠN VỊ</t>
  </si>
  <si>
    <t xml:space="preserve">                                       (Ký, họ tên, đóng dấu)</t>
  </si>
  <si>
    <t>TRƯỜNG ĐẠI HỌC XÂY DỰNG HN</t>
  </si>
  <si>
    <t xml:space="preserve">     BỘ GIÁO DỤC VÀ ĐẠO TẠO</t>
  </si>
  <si>
    <t xml:space="preserve">                                                   TRẦN VĨNH TRUNG</t>
  </si>
  <si>
    <t xml:space="preserve">            HOÀNG TÙNG</t>
  </si>
  <si>
    <t xml:space="preserve">                                                    TRẦN VĨNH TRUNG</t>
  </si>
  <si>
    <t xml:space="preserve">                        HOÀNG TÙNG</t>
  </si>
  <si>
    <t>Tại ngày 31 tháng 12 năm 2024</t>
  </si>
  <si>
    <t xml:space="preserve">              Lập, ngày 31 tháng 03 năm 2025</t>
  </si>
  <si>
    <t>Lập, ngày 31 tháng 03 năm2025</t>
  </si>
  <si>
    <t>Năm 2024</t>
  </si>
  <si>
    <t>Lập, ngày 31 tháng 03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</si>
</sst>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8" formatCode="#,##0;[Red]\(#,##0\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3"/>
      <color rgb="FF000000"/>
      <name val="Times New Roman"/>
      <family val="1"/>
    </font>
    <font>
      <b/>
      <sz val="11"/>
      <color theme="1"/>
      <name val="Times New Roman"/>
      <family val="1"/>
    </font>
    <font>
      <b/>
      <i/>
      <sz val="12"/>
      <color rgb="FF0070C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i/>
      <sz val="12"/>
      <color rgb="FF000000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5" fontId="0" fillId="0" borderId="0" xfId="1" applyNumberFormat="1" applyFont="1"/>
    <xf numFmtId="165" fontId="7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165" fontId="4" fillId="0" borderId="1" xfId="1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vertical="center"/>
    </xf>
    <xf numFmtId="165" fontId="6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/>
    <xf numFmtId="165" fontId="5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5" fillId="0" borderId="1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20" fillId="0" borderId="0" xfId="0" applyFont="1"/>
    <xf numFmtId="165" fontId="4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165" fontId="21" fillId="0" borderId="1" xfId="0" applyNumberFormat="1" applyFont="1" applyBorder="1" applyAlignment="1">
      <alignment horizontal="center" vertical="center"/>
    </xf>
    <xf numFmtId="0" fontId="23" fillId="0" borderId="0" xfId="0" applyFont="1"/>
    <xf numFmtId="165" fontId="14" fillId="0" borderId="1" xfId="0" applyNumberFormat="1" applyFont="1" applyBorder="1" applyAlignment="1">
      <alignment horizontal="center" vertical="center"/>
    </xf>
    <xf numFmtId="0" fontId="24" fillId="0" borderId="0" xfId="0" applyFont="1"/>
    <xf numFmtId="0" fontId="7" fillId="0" borderId="0" xfId="0" applyFont="1" applyAlignment="1">
      <alignment vertical="center"/>
    </xf>
    <xf numFmtId="0" fontId="25" fillId="0" borderId="0" xfId="0" applyFont="1"/>
    <xf numFmtId="165" fontId="25" fillId="0" borderId="0" xfId="1" applyNumberFormat="1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vertical="center"/>
    </xf>
    <xf numFmtId="0" fontId="20" fillId="2" borderId="0" xfId="0" applyFont="1" applyFill="1"/>
    <xf numFmtId="0" fontId="0" fillId="2" borderId="0" xfId="0" applyFill="1"/>
    <xf numFmtId="0" fontId="12" fillId="0" borderId="0" xfId="0" applyFo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right" vertical="center"/>
    </xf>
    <xf numFmtId="165" fontId="26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right" vertical="center"/>
    </xf>
    <xf numFmtId="165" fontId="19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168" fontId="27" fillId="0" borderId="1" xfId="0" applyNumberFormat="1" applyFont="1" applyBorder="1" applyAlignment="1">
      <alignment horizontal="right" vertical="center"/>
    </xf>
    <xf numFmtId="168" fontId="26" fillId="0" borderId="1" xfId="0" applyNumberFormat="1" applyFont="1" applyBorder="1" applyAlignment="1">
      <alignment horizontal="right" vertical="center"/>
    </xf>
    <xf numFmtId="168" fontId="19" fillId="0" borderId="1" xfId="0" applyNumberFormat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758C-7370-4884-91A0-93E6E8728463}">
  <dimension ref="A1:F60"/>
  <sheetViews>
    <sheetView workbookViewId="0">
      <pane xSplit="6" ySplit="11" topLeftCell="G42" activePane="bottomRight" state="frozen"/>
      <selection pane="topRight" activeCell="G1" sqref="G1"/>
      <selection pane="bottomLeft" activeCell="A13" sqref="A13"/>
      <selection pane="bottomRight" activeCell="E42" sqref="E42:F42"/>
    </sheetView>
  </sheetViews>
  <sheetFormatPr defaultRowHeight="15" x14ac:dyDescent="0.25"/>
  <cols>
    <col min="1" max="1" width="6" customWidth="1"/>
    <col min="2" max="2" width="32" customWidth="1"/>
    <col min="3" max="3" width="8.7109375" customWidth="1"/>
    <col min="4" max="4" width="12.28515625" style="18" customWidth="1"/>
    <col min="5" max="6" width="20.140625" style="18" customWidth="1"/>
  </cols>
  <sheetData>
    <row r="1" spans="1:6" ht="17.25" customHeight="1" x14ac:dyDescent="0.25">
      <c r="A1" s="17" t="s">
        <v>129</v>
      </c>
      <c r="C1" s="37" t="s">
        <v>65</v>
      </c>
      <c r="E1" s="19" t="s">
        <v>0</v>
      </c>
      <c r="F1" s="20"/>
    </row>
    <row r="2" spans="1:6" ht="18" customHeight="1" x14ac:dyDescent="0.25">
      <c r="A2" s="69" t="s">
        <v>128</v>
      </c>
      <c r="B2" s="1"/>
      <c r="E2" s="21" t="s">
        <v>1</v>
      </c>
      <c r="F2" s="22"/>
    </row>
    <row r="3" spans="1:6" ht="15.75" x14ac:dyDescent="0.25">
      <c r="A3" s="17"/>
      <c r="B3" s="1"/>
      <c r="E3" s="21" t="s">
        <v>2</v>
      </c>
      <c r="F3" s="22"/>
    </row>
    <row r="4" spans="1:6" ht="15.75" x14ac:dyDescent="0.25">
      <c r="A4" s="17"/>
      <c r="B4" s="1"/>
      <c r="E4" s="21" t="s">
        <v>3</v>
      </c>
      <c r="F4" s="22"/>
    </row>
    <row r="5" spans="1:6" ht="15.75" x14ac:dyDescent="0.25">
      <c r="A5" s="3"/>
    </row>
    <row r="6" spans="1:6" ht="22.5" customHeight="1" x14ac:dyDescent="0.25">
      <c r="A6" s="79" t="s">
        <v>4</v>
      </c>
      <c r="B6" s="79"/>
      <c r="C6" s="79"/>
      <c r="D6" s="79"/>
      <c r="E6" s="79"/>
      <c r="F6" s="79"/>
    </row>
    <row r="7" spans="1:6" ht="16.5" customHeight="1" x14ac:dyDescent="0.25">
      <c r="A7" s="80" t="s">
        <v>138</v>
      </c>
      <c r="B7" s="80"/>
      <c r="C7" s="80"/>
      <c r="D7" s="80"/>
      <c r="E7" s="80"/>
      <c r="F7" s="80"/>
    </row>
    <row r="8" spans="1:6" ht="16.5" customHeight="1" x14ac:dyDescent="0.25">
      <c r="A8" s="3"/>
    </row>
    <row r="9" spans="1:6" ht="15.75" x14ac:dyDescent="0.25">
      <c r="B9" s="4"/>
      <c r="F9" s="39" t="s">
        <v>60</v>
      </c>
    </row>
    <row r="10" spans="1:6" ht="23.25" customHeight="1" x14ac:dyDescent="0.25">
      <c r="A10" s="9" t="s">
        <v>5</v>
      </c>
      <c r="B10" s="10" t="s">
        <v>6</v>
      </c>
      <c r="C10" s="9" t="s">
        <v>7</v>
      </c>
      <c r="D10" s="23" t="s">
        <v>8</v>
      </c>
      <c r="E10" s="23" t="s">
        <v>9</v>
      </c>
      <c r="F10" s="23" t="s">
        <v>10</v>
      </c>
    </row>
    <row r="11" spans="1:6" ht="15.75" x14ac:dyDescent="0.25">
      <c r="A11" s="33" t="s">
        <v>11</v>
      </c>
      <c r="B11" s="34" t="s">
        <v>12</v>
      </c>
      <c r="C11" s="33" t="s">
        <v>13</v>
      </c>
      <c r="D11" s="35" t="s">
        <v>14</v>
      </c>
      <c r="E11" s="38">
        <v>1</v>
      </c>
      <c r="F11" s="38">
        <v>2</v>
      </c>
    </row>
    <row r="12" spans="1:6" ht="20.25" customHeight="1" x14ac:dyDescent="0.25">
      <c r="A12" s="9"/>
      <c r="B12" s="10" t="s">
        <v>15</v>
      </c>
      <c r="C12" s="11"/>
      <c r="D12" s="24"/>
      <c r="E12" s="25"/>
      <c r="F12" s="25"/>
    </row>
    <row r="13" spans="1:6" s="59" customFormat="1" ht="22.5" customHeight="1" x14ac:dyDescent="0.25">
      <c r="A13" s="9" t="s">
        <v>16</v>
      </c>
      <c r="B13" s="13" t="s">
        <v>17</v>
      </c>
      <c r="C13" s="9">
        <v>1</v>
      </c>
      <c r="D13" s="23"/>
      <c r="E13" s="26">
        <v>338608433</v>
      </c>
      <c r="F13" s="26">
        <v>291160167</v>
      </c>
    </row>
    <row r="14" spans="1:6" s="59" customFormat="1" ht="22.5" customHeight="1" x14ac:dyDescent="0.25">
      <c r="A14" s="9" t="s">
        <v>18</v>
      </c>
      <c r="B14" s="13" t="s">
        <v>19</v>
      </c>
      <c r="C14" s="9">
        <v>5</v>
      </c>
      <c r="D14" s="23"/>
      <c r="E14" s="26"/>
      <c r="F14" s="26"/>
    </row>
    <row r="15" spans="1:6" s="59" customFormat="1" ht="22.5" customHeight="1" x14ac:dyDescent="0.25">
      <c r="A15" s="9" t="s">
        <v>20</v>
      </c>
      <c r="B15" s="13" t="s">
        <v>21</v>
      </c>
      <c r="C15" s="9">
        <v>10</v>
      </c>
      <c r="D15" s="27"/>
      <c r="E15" s="26">
        <v>857594921</v>
      </c>
      <c r="F15" s="26">
        <v>1206780690</v>
      </c>
    </row>
    <row r="16" spans="1:6" ht="22.5" customHeight="1" x14ac:dyDescent="0.25">
      <c r="A16" s="11">
        <v>1</v>
      </c>
      <c r="B16" s="12" t="s">
        <v>22</v>
      </c>
      <c r="C16" s="11">
        <v>11</v>
      </c>
      <c r="D16" s="24"/>
      <c r="E16" s="25">
        <v>848594921</v>
      </c>
      <c r="F16" s="25">
        <v>1206780690</v>
      </c>
    </row>
    <row r="17" spans="1:6" ht="22.5" customHeight="1" x14ac:dyDescent="0.25">
      <c r="A17" s="11">
        <v>2</v>
      </c>
      <c r="B17" s="12" t="s">
        <v>23</v>
      </c>
      <c r="C17" s="11">
        <v>12</v>
      </c>
      <c r="D17" s="24"/>
      <c r="E17" s="25">
        <v>9000000</v>
      </c>
      <c r="F17" s="25"/>
    </row>
    <row r="18" spans="1:6" ht="22.5" customHeight="1" x14ac:dyDescent="0.25">
      <c r="A18" s="11">
        <v>3</v>
      </c>
      <c r="B18" s="12" t="s">
        <v>24</v>
      </c>
      <c r="C18" s="11">
        <v>14</v>
      </c>
      <c r="D18" s="24"/>
      <c r="E18" s="25"/>
      <c r="F18" s="25"/>
    </row>
    <row r="19" spans="1:6" s="59" customFormat="1" ht="22.5" customHeight="1" x14ac:dyDescent="0.25">
      <c r="A19" s="9" t="s">
        <v>25</v>
      </c>
      <c r="B19" s="13" t="s">
        <v>26</v>
      </c>
      <c r="C19" s="9">
        <v>20</v>
      </c>
      <c r="D19" s="23"/>
      <c r="E19" s="26">
        <v>103000000</v>
      </c>
      <c r="F19" s="26">
        <v>837350000</v>
      </c>
    </row>
    <row r="20" spans="1:6" s="59" customFormat="1" ht="22.5" customHeight="1" x14ac:dyDescent="0.25">
      <c r="A20" s="9" t="s">
        <v>27</v>
      </c>
      <c r="B20" s="13" t="s">
        <v>28</v>
      </c>
      <c r="C20" s="9">
        <v>25</v>
      </c>
      <c r="D20" s="23"/>
      <c r="E20" s="26"/>
      <c r="F20" s="26"/>
    </row>
    <row r="21" spans="1:6" s="59" customFormat="1" ht="30" customHeight="1" x14ac:dyDescent="0.25">
      <c r="A21" s="9" t="s">
        <v>29</v>
      </c>
      <c r="B21" s="40" t="s">
        <v>30</v>
      </c>
      <c r="C21" s="9">
        <v>30</v>
      </c>
      <c r="D21" s="23"/>
      <c r="E21" s="26">
        <f>E22+E25</f>
        <v>30347418</v>
      </c>
      <c r="F21" s="26">
        <f>F22+F25</f>
        <v>30347418</v>
      </c>
    </row>
    <row r="22" spans="1:6" ht="23.25" customHeight="1" x14ac:dyDescent="0.25">
      <c r="A22" s="11">
        <v>1</v>
      </c>
      <c r="B22" s="12" t="s">
        <v>31</v>
      </c>
      <c r="C22" s="11">
        <v>31</v>
      </c>
      <c r="D22" s="24"/>
      <c r="E22" s="25">
        <f>E23+E24</f>
        <v>30347418</v>
      </c>
      <c r="F22" s="25">
        <f>F23+F24</f>
        <v>30347418</v>
      </c>
    </row>
    <row r="23" spans="1:6" ht="23.25" customHeight="1" x14ac:dyDescent="0.25">
      <c r="A23" s="11"/>
      <c r="B23" s="12" t="s">
        <v>32</v>
      </c>
      <c r="C23" s="11">
        <v>32</v>
      </c>
      <c r="D23" s="24"/>
      <c r="E23" s="25">
        <v>54191819</v>
      </c>
      <c r="F23" s="25">
        <v>54191819</v>
      </c>
    </row>
    <row r="24" spans="1:6" ht="23.25" customHeight="1" x14ac:dyDescent="0.25">
      <c r="A24" s="11"/>
      <c r="B24" s="12" t="s">
        <v>33</v>
      </c>
      <c r="C24" s="11">
        <v>33</v>
      </c>
      <c r="D24" s="24"/>
      <c r="E24" s="25">
        <v>-23844401</v>
      </c>
      <c r="F24" s="25">
        <v>-23844401</v>
      </c>
    </row>
    <row r="25" spans="1:6" ht="23.25" customHeight="1" x14ac:dyDescent="0.25">
      <c r="A25" s="11">
        <v>2</v>
      </c>
      <c r="B25" s="12" t="s">
        <v>34</v>
      </c>
      <c r="C25" s="11">
        <v>35</v>
      </c>
      <c r="D25" s="24"/>
      <c r="E25" s="25"/>
      <c r="F25" s="25"/>
    </row>
    <row r="26" spans="1:6" ht="23.25" customHeight="1" x14ac:dyDescent="0.25">
      <c r="A26" s="11"/>
      <c r="B26" s="12" t="s">
        <v>32</v>
      </c>
      <c r="C26" s="11">
        <v>36</v>
      </c>
      <c r="D26" s="24"/>
      <c r="E26" s="25"/>
      <c r="F26" s="25"/>
    </row>
    <row r="27" spans="1:6" ht="23.25" customHeight="1" x14ac:dyDescent="0.25">
      <c r="A27" s="11"/>
      <c r="B27" s="12" t="s">
        <v>33</v>
      </c>
      <c r="C27" s="11">
        <v>37</v>
      </c>
      <c r="D27" s="24"/>
      <c r="E27" s="25"/>
      <c r="F27" s="25"/>
    </row>
    <row r="28" spans="1:6" s="59" customFormat="1" ht="23.25" customHeight="1" x14ac:dyDescent="0.25">
      <c r="A28" s="9" t="s">
        <v>35</v>
      </c>
      <c r="B28" s="13" t="s">
        <v>36</v>
      </c>
      <c r="C28" s="9">
        <v>40</v>
      </c>
      <c r="D28" s="23"/>
      <c r="E28" s="26"/>
      <c r="F28" s="26"/>
    </row>
    <row r="29" spans="1:6" s="59" customFormat="1" ht="23.25" customHeight="1" x14ac:dyDescent="0.25">
      <c r="A29" s="9" t="s">
        <v>37</v>
      </c>
      <c r="B29" s="13" t="s">
        <v>38</v>
      </c>
      <c r="C29" s="9">
        <v>45</v>
      </c>
      <c r="D29" s="23"/>
      <c r="E29" s="26">
        <v>337858445</v>
      </c>
      <c r="F29" s="26">
        <v>359562706</v>
      </c>
    </row>
    <row r="30" spans="1:6" s="59" customFormat="1" ht="31.5" x14ac:dyDescent="0.25">
      <c r="A30" s="9" t="s">
        <v>39</v>
      </c>
      <c r="B30" s="14" t="s">
        <v>40</v>
      </c>
      <c r="C30" s="9">
        <v>46</v>
      </c>
      <c r="D30" s="23"/>
      <c r="E30" s="26"/>
      <c r="F30" s="26"/>
    </row>
    <row r="31" spans="1:6" s="76" customFormat="1" ht="21" customHeight="1" x14ac:dyDescent="0.25">
      <c r="A31" s="72"/>
      <c r="B31" s="72" t="s">
        <v>41</v>
      </c>
      <c r="C31" s="73">
        <v>50</v>
      </c>
      <c r="D31" s="74"/>
      <c r="E31" s="75">
        <f>E13+E14+E15+E19+E20+E21+E28+E29+E30</f>
        <v>1667409217</v>
      </c>
      <c r="F31" s="75">
        <f>F13+F14+F15+F19+F20+F21+F28+F29+F30</f>
        <v>2725200981</v>
      </c>
    </row>
    <row r="32" spans="1:6" ht="21" customHeight="1" x14ac:dyDescent="0.25">
      <c r="A32" s="9"/>
      <c r="B32" s="10" t="s">
        <v>42</v>
      </c>
      <c r="C32" s="11"/>
      <c r="D32" s="24"/>
      <c r="E32" s="25"/>
      <c r="F32" s="25"/>
    </row>
    <row r="33" spans="1:6" s="59" customFormat="1" ht="22.5" customHeight="1" x14ac:dyDescent="0.25">
      <c r="A33" s="9" t="s">
        <v>43</v>
      </c>
      <c r="B33" s="13" t="s">
        <v>44</v>
      </c>
      <c r="C33" s="9">
        <v>60</v>
      </c>
      <c r="D33" s="23"/>
      <c r="E33" s="26">
        <f>SUM(E34:E41)</f>
        <v>1409228795</v>
      </c>
      <c r="F33" s="26">
        <f>SUM(F34:F41)</f>
        <v>2511069437</v>
      </c>
    </row>
    <row r="34" spans="1:6" ht="24" customHeight="1" x14ac:dyDescent="0.25">
      <c r="A34" s="11">
        <v>1</v>
      </c>
      <c r="B34" s="12" t="s">
        <v>45</v>
      </c>
      <c r="C34" s="11">
        <v>61</v>
      </c>
      <c r="D34" s="24"/>
      <c r="E34" s="25">
        <v>1043938120</v>
      </c>
      <c r="F34" s="25">
        <v>1299898165</v>
      </c>
    </row>
    <row r="35" spans="1:6" ht="32.25" customHeight="1" x14ac:dyDescent="0.25">
      <c r="A35" s="11">
        <v>2</v>
      </c>
      <c r="B35" s="45" t="s">
        <v>46</v>
      </c>
      <c r="C35" s="11">
        <v>62</v>
      </c>
      <c r="D35" s="28"/>
      <c r="E35" s="25">
        <v>291591500</v>
      </c>
      <c r="F35" s="25">
        <v>1138090000</v>
      </c>
    </row>
    <row r="36" spans="1:6" ht="32.25" customHeight="1" x14ac:dyDescent="0.25">
      <c r="A36" s="11">
        <v>3</v>
      </c>
      <c r="B36" s="45" t="s">
        <v>127</v>
      </c>
      <c r="C36" s="11"/>
      <c r="D36" s="28"/>
      <c r="E36" s="25">
        <v>73699175</v>
      </c>
      <c r="F36" s="25">
        <v>73081272</v>
      </c>
    </row>
    <row r="37" spans="1:6" ht="24.75" customHeight="1" x14ac:dyDescent="0.25">
      <c r="A37" s="11">
        <v>4</v>
      </c>
      <c r="B37" s="12" t="s">
        <v>47</v>
      </c>
      <c r="C37" s="11">
        <v>64</v>
      </c>
      <c r="D37" s="28"/>
      <c r="E37" s="25"/>
      <c r="F37" s="25"/>
    </row>
    <row r="38" spans="1:6" ht="24.75" customHeight="1" x14ac:dyDescent="0.25">
      <c r="A38" s="11">
        <v>5</v>
      </c>
      <c r="B38" s="12" t="s">
        <v>48</v>
      </c>
      <c r="C38" s="11">
        <v>65</v>
      </c>
      <c r="D38" s="24"/>
      <c r="E38" s="25"/>
      <c r="F38" s="25"/>
    </row>
    <row r="39" spans="1:6" ht="24.75" customHeight="1" x14ac:dyDescent="0.25">
      <c r="A39" s="11">
        <v>6</v>
      </c>
      <c r="B39" s="12" t="s">
        <v>49</v>
      </c>
      <c r="C39" s="11">
        <v>66</v>
      </c>
      <c r="D39" s="24"/>
      <c r="E39" s="25"/>
      <c r="F39" s="25"/>
    </row>
    <row r="40" spans="1:6" ht="24.75" customHeight="1" x14ac:dyDescent="0.25">
      <c r="A40" s="11">
        <v>7</v>
      </c>
      <c r="B40" s="12" t="s">
        <v>50</v>
      </c>
      <c r="C40" s="11">
        <v>67</v>
      </c>
      <c r="D40" s="24"/>
      <c r="E40" s="25"/>
      <c r="F40" s="25"/>
    </row>
    <row r="41" spans="1:6" ht="24.75" customHeight="1" x14ac:dyDescent="0.25">
      <c r="A41" s="11">
        <v>8</v>
      </c>
      <c r="B41" s="12" t="s">
        <v>51</v>
      </c>
      <c r="C41" s="11">
        <v>68</v>
      </c>
      <c r="D41" s="24"/>
      <c r="E41" s="25"/>
      <c r="F41" s="25"/>
    </row>
    <row r="42" spans="1:6" s="59" customFormat="1" ht="24.75" customHeight="1" x14ac:dyDescent="0.25">
      <c r="A42" s="9" t="s">
        <v>18</v>
      </c>
      <c r="B42" s="13" t="s">
        <v>52</v>
      </c>
      <c r="C42" s="9">
        <v>70</v>
      </c>
      <c r="D42" s="23"/>
      <c r="E42" s="26">
        <f>E43+E44</f>
        <v>258180422</v>
      </c>
      <c r="F42" s="26">
        <f>F43+F44</f>
        <v>214131544</v>
      </c>
    </row>
    <row r="43" spans="1:6" ht="24.75" customHeight="1" x14ac:dyDescent="0.25">
      <c r="A43" s="11">
        <v>1</v>
      </c>
      <c r="B43" s="12" t="s">
        <v>53</v>
      </c>
      <c r="C43" s="11">
        <v>71</v>
      </c>
      <c r="D43" s="29"/>
      <c r="E43" s="25">
        <v>105162580</v>
      </c>
      <c r="F43" s="25">
        <v>105162580</v>
      </c>
    </row>
    <row r="44" spans="1:6" ht="24.75" customHeight="1" x14ac:dyDescent="0.25">
      <c r="A44" s="11">
        <v>2</v>
      </c>
      <c r="B44" s="12" t="s">
        <v>54</v>
      </c>
      <c r="C44" s="11">
        <v>72</v>
      </c>
      <c r="D44" s="24"/>
      <c r="E44" s="25">
        <v>153017842</v>
      </c>
      <c r="F44" s="25">
        <v>108968964</v>
      </c>
    </row>
    <row r="45" spans="1:6" ht="24.75" customHeight="1" x14ac:dyDescent="0.25">
      <c r="A45" s="11">
        <v>3</v>
      </c>
      <c r="B45" s="12" t="s">
        <v>55</v>
      </c>
      <c r="C45" s="11">
        <v>73</v>
      </c>
      <c r="D45" s="24"/>
      <c r="E45" s="25"/>
      <c r="F45" s="25"/>
    </row>
    <row r="46" spans="1:6" ht="24.75" customHeight="1" x14ac:dyDescent="0.25">
      <c r="A46" s="11">
        <v>4</v>
      </c>
      <c r="B46" s="12" t="s">
        <v>56</v>
      </c>
      <c r="C46" s="11">
        <v>74</v>
      </c>
      <c r="D46" s="24"/>
      <c r="E46" s="25"/>
      <c r="F46" s="25"/>
    </row>
    <row r="47" spans="1:6" ht="31.5" x14ac:dyDescent="0.25">
      <c r="A47" s="11">
        <v>5</v>
      </c>
      <c r="B47" s="15" t="s">
        <v>40</v>
      </c>
      <c r="C47" s="11">
        <v>75</v>
      </c>
      <c r="D47" s="24"/>
      <c r="E47" s="25"/>
      <c r="F47" s="25"/>
    </row>
    <row r="48" spans="1:6" s="77" customFormat="1" ht="27" customHeight="1" x14ac:dyDescent="0.25">
      <c r="A48" s="73"/>
      <c r="B48" s="72" t="s">
        <v>57</v>
      </c>
      <c r="C48" s="73">
        <v>80</v>
      </c>
      <c r="D48" s="74"/>
      <c r="E48" s="75">
        <f>E33+E42</f>
        <v>1667409217</v>
      </c>
      <c r="F48" s="75">
        <f>F33+F42</f>
        <v>2725200981</v>
      </c>
    </row>
    <row r="49" spans="1:6" s="70" customFormat="1" ht="21.75" customHeight="1" x14ac:dyDescent="0.25">
      <c r="A49" s="5"/>
      <c r="D49" s="71"/>
      <c r="E49" s="71">
        <f>E31-E48</f>
        <v>0</v>
      </c>
      <c r="F49" s="71">
        <f t="shared" ref="F49" si="0">F31-F48</f>
        <v>0</v>
      </c>
    </row>
    <row r="50" spans="1:6" ht="18.75" customHeight="1" x14ac:dyDescent="0.25">
      <c r="A50" s="2"/>
      <c r="B50" s="2"/>
      <c r="D50" s="31"/>
      <c r="E50" s="31" t="s">
        <v>139</v>
      </c>
      <c r="F50" s="30"/>
    </row>
    <row r="51" spans="1:6" ht="26.25" customHeight="1" x14ac:dyDescent="0.25">
      <c r="A51" s="36" t="s">
        <v>61</v>
      </c>
      <c r="C51" s="16" t="s">
        <v>58</v>
      </c>
      <c r="D51" s="30"/>
      <c r="E51" s="19" t="s">
        <v>130</v>
      </c>
      <c r="F51" s="30"/>
    </row>
    <row r="52" spans="1:6" ht="15.75" x14ac:dyDescent="0.25">
      <c r="A52" s="8" t="s">
        <v>62</v>
      </c>
      <c r="C52" s="3" t="s">
        <v>59</v>
      </c>
      <c r="D52" s="30"/>
      <c r="E52" s="22" t="s">
        <v>131</v>
      </c>
      <c r="F52" s="30"/>
    </row>
    <row r="53" spans="1:6" x14ac:dyDescent="0.25">
      <c r="A53" s="6"/>
      <c r="B53" s="6"/>
      <c r="C53" s="6"/>
      <c r="D53" s="32"/>
    </row>
    <row r="54" spans="1:6" ht="15.75" x14ac:dyDescent="0.25">
      <c r="A54" s="5"/>
    </row>
    <row r="55" spans="1:6" ht="15.75" x14ac:dyDescent="0.25">
      <c r="A55" s="5"/>
    </row>
    <row r="56" spans="1:6" ht="15.75" x14ac:dyDescent="0.25">
      <c r="A56" s="5"/>
    </row>
    <row r="57" spans="1:6" ht="17.25" customHeight="1" x14ac:dyDescent="0.25">
      <c r="B57" s="78" t="s">
        <v>136</v>
      </c>
      <c r="C57" s="78"/>
      <c r="D57" s="78"/>
      <c r="E57" s="78" t="s">
        <v>137</v>
      </c>
      <c r="F57"/>
    </row>
    <row r="58" spans="1:6" ht="15.75" x14ac:dyDescent="0.25">
      <c r="A58" s="5"/>
    </row>
    <row r="59" spans="1:6" ht="15.75" x14ac:dyDescent="0.25">
      <c r="A59" s="5"/>
    </row>
    <row r="60" spans="1:6" ht="15.75" x14ac:dyDescent="0.25">
      <c r="A60" s="7"/>
    </row>
  </sheetData>
  <mergeCells count="2">
    <mergeCell ref="A6:F6"/>
    <mergeCell ref="A7:F7"/>
  </mergeCells>
  <pageMargins left="0.45" right="0.2" top="0.5" bottom="0.8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AE14-E606-43CA-9CDD-CFB49A6EFC3E}">
  <dimension ref="A1:F49"/>
  <sheetViews>
    <sheetView workbookViewId="0">
      <pane xSplit="6" ySplit="10" topLeftCell="G41" activePane="bottomRight" state="frozen"/>
      <selection pane="topRight" activeCell="G1" sqref="G1"/>
      <selection pane="bottomLeft" activeCell="A11" sqref="A11"/>
      <selection pane="bottomRight" activeCell="F25" sqref="F25"/>
    </sheetView>
  </sheetViews>
  <sheetFormatPr defaultRowHeight="15" x14ac:dyDescent="0.25"/>
  <cols>
    <col min="1" max="1" width="6.140625" customWidth="1"/>
    <col min="2" max="2" width="32" customWidth="1"/>
    <col min="3" max="3" width="7.42578125" customWidth="1"/>
    <col min="4" max="4" width="14.42578125" customWidth="1"/>
    <col min="5" max="6" width="20" customWidth="1"/>
  </cols>
  <sheetData>
    <row r="1" spans="1:6" ht="17.25" customHeight="1" x14ac:dyDescent="0.25">
      <c r="A1" s="17" t="s">
        <v>133</v>
      </c>
      <c r="C1" s="37" t="s">
        <v>65</v>
      </c>
      <c r="D1" s="18"/>
      <c r="E1" s="19" t="s">
        <v>66</v>
      </c>
      <c r="F1" s="20"/>
    </row>
    <row r="2" spans="1:6" ht="15.75" x14ac:dyDescent="0.25">
      <c r="A2" s="69" t="s">
        <v>132</v>
      </c>
      <c r="B2" s="1"/>
      <c r="D2" s="18"/>
      <c r="E2" s="21" t="s">
        <v>1</v>
      </c>
      <c r="F2" s="22"/>
    </row>
    <row r="3" spans="1:6" ht="15.75" x14ac:dyDescent="0.25">
      <c r="A3" s="17"/>
      <c r="B3" s="1"/>
      <c r="D3" s="18"/>
      <c r="E3" s="21" t="s">
        <v>2</v>
      </c>
      <c r="F3" s="22"/>
    </row>
    <row r="4" spans="1:6" ht="15.75" x14ac:dyDescent="0.25">
      <c r="A4" s="17"/>
      <c r="B4" s="1"/>
      <c r="D4" s="18"/>
      <c r="E4" s="21" t="s">
        <v>3</v>
      </c>
      <c r="F4" s="22"/>
    </row>
    <row r="5" spans="1:6" ht="15.75" x14ac:dyDescent="0.25">
      <c r="A5" s="41"/>
    </row>
    <row r="6" spans="1:6" ht="22.5" customHeight="1" x14ac:dyDescent="0.25">
      <c r="A6" s="79" t="s">
        <v>67</v>
      </c>
      <c r="B6" s="79"/>
      <c r="C6" s="79"/>
      <c r="D6" s="79"/>
      <c r="E6" s="79"/>
      <c r="F6" s="79"/>
    </row>
    <row r="7" spans="1:6" ht="16.5" customHeight="1" x14ac:dyDescent="0.25">
      <c r="A7" s="80" t="s">
        <v>141</v>
      </c>
      <c r="B7" s="80"/>
      <c r="C7" s="80"/>
      <c r="D7" s="80"/>
      <c r="E7" s="80"/>
      <c r="F7" s="80"/>
    </row>
    <row r="8" spans="1:6" ht="16.5" customHeight="1" x14ac:dyDescent="0.25">
      <c r="A8" s="8"/>
      <c r="F8" s="8"/>
    </row>
    <row r="9" spans="1:6" ht="15.75" x14ac:dyDescent="0.25">
      <c r="A9" s="42"/>
      <c r="F9" s="8" t="s">
        <v>68</v>
      </c>
    </row>
    <row r="10" spans="1:6" ht="23.25" customHeight="1" x14ac:dyDescent="0.25">
      <c r="A10" s="43" t="s">
        <v>5</v>
      </c>
      <c r="B10" s="9" t="s">
        <v>6</v>
      </c>
      <c r="C10" s="9" t="s">
        <v>7</v>
      </c>
      <c r="D10" s="9" t="s">
        <v>8</v>
      </c>
      <c r="E10" s="9" t="s">
        <v>69</v>
      </c>
      <c r="F10" s="9" t="s">
        <v>70</v>
      </c>
    </row>
    <row r="11" spans="1:6" ht="15.75" x14ac:dyDescent="0.25">
      <c r="A11" s="44" t="s">
        <v>11</v>
      </c>
      <c r="B11" s="11" t="s">
        <v>12</v>
      </c>
      <c r="C11" s="11" t="s">
        <v>13</v>
      </c>
      <c r="D11" s="11" t="s">
        <v>14</v>
      </c>
      <c r="E11" s="11">
        <v>1</v>
      </c>
      <c r="F11" s="11">
        <v>2</v>
      </c>
    </row>
    <row r="12" spans="1:6" s="59" customFormat="1" ht="20.25" customHeight="1" x14ac:dyDescent="0.25">
      <c r="A12" s="10" t="s">
        <v>16</v>
      </c>
      <c r="B12" s="13" t="s">
        <v>71</v>
      </c>
      <c r="C12" s="9"/>
      <c r="D12" s="9"/>
      <c r="E12" s="60"/>
      <c r="F12" s="60"/>
    </row>
    <row r="13" spans="1:6" ht="22.5" customHeight="1" x14ac:dyDescent="0.25">
      <c r="A13" s="44">
        <v>1</v>
      </c>
      <c r="B13" s="12" t="s">
        <v>72</v>
      </c>
      <c r="C13" s="11">
        <v>1</v>
      </c>
      <c r="D13" s="11"/>
      <c r="E13" s="49"/>
      <c r="F13" s="49"/>
    </row>
    <row r="14" spans="1:6" ht="23.25" customHeight="1" x14ac:dyDescent="0.25">
      <c r="A14" s="44"/>
      <c r="B14" s="12" t="s">
        <v>73</v>
      </c>
      <c r="C14" s="11">
        <v>2</v>
      </c>
      <c r="D14" s="11"/>
      <c r="E14" s="49"/>
      <c r="F14" s="49"/>
    </row>
    <row r="15" spans="1:6" ht="31.5" customHeight="1" x14ac:dyDescent="0.25">
      <c r="A15" s="44"/>
      <c r="B15" s="45" t="s">
        <v>74</v>
      </c>
      <c r="C15" s="11">
        <v>3</v>
      </c>
      <c r="D15" s="12"/>
      <c r="E15" s="49"/>
      <c r="F15" s="49"/>
    </row>
    <row r="16" spans="1:6" ht="31.5" customHeight="1" x14ac:dyDescent="0.25">
      <c r="A16" s="44"/>
      <c r="B16" s="45" t="s">
        <v>75</v>
      </c>
      <c r="C16" s="11">
        <v>4</v>
      </c>
      <c r="D16" s="12"/>
      <c r="E16" s="49"/>
      <c r="F16" s="49"/>
    </row>
    <row r="17" spans="1:6" ht="20.25" customHeight="1" x14ac:dyDescent="0.25">
      <c r="A17" s="44">
        <v>2</v>
      </c>
      <c r="B17" s="12" t="s">
        <v>76</v>
      </c>
      <c r="C17" s="11">
        <v>5</v>
      </c>
      <c r="D17" s="13"/>
      <c r="E17" s="49">
        <f>SUM(E18:E20)</f>
        <v>0</v>
      </c>
      <c r="F17" s="49">
        <f>SUM(F18:F20)</f>
        <v>0</v>
      </c>
    </row>
    <row r="18" spans="1:6" ht="20.25" customHeight="1" x14ac:dyDescent="0.25">
      <c r="A18" s="44"/>
      <c r="B18" s="12" t="s">
        <v>77</v>
      </c>
      <c r="C18" s="11">
        <v>6</v>
      </c>
      <c r="D18" s="12"/>
      <c r="E18" s="49"/>
      <c r="F18" s="49"/>
    </row>
    <row r="19" spans="1:6" ht="30.75" customHeight="1" x14ac:dyDescent="0.25">
      <c r="A19" s="44"/>
      <c r="B19" s="45" t="s">
        <v>78</v>
      </c>
      <c r="C19" s="11">
        <v>7</v>
      </c>
      <c r="D19" s="46"/>
      <c r="E19" s="49"/>
      <c r="F19" s="49"/>
    </row>
    <row r="20" spans="1:6" ht="22.5" customHeight="1" x14ac:dyDescent="0.25">
      <c r="A20" s="44"/>
      <c r="B20" s="12" t="s">
        <v>79</v>
      </c>
      <c r="C20" s="11">
        <v>8</v>
      </c>
      <c r="D20" s="46"/>
      <c r="E20" s="49"/>
      <c r="F20" s="49"/>
    </row>
    <row r="21" spans="1:6" s="66" customFormat="1" ht="30" customHeight="1" x14ac:dyDescent="0.25">
      <c r="A21" s="61">
        <v>3</v>
      </c>
      <c r="B21" s="62" t="s">
        <v>80</v>
      </c>
      <c r="C21" s="63">
        <v>9</v>
      </c>
      <c r="D21" s="64"/>
      <c r="E21" s="65">
        <f>E13-E17</f>
        <v>0</v>
      </c>
      <c r="F21" s="65">
        <f>F13-F17</f>
        <v>0</v>
      </c>
    </row>
    <row r="22" spans="1:6" ht="20.25" customHeight="1" x14ac:dyDescent="0.25">
      <c r="A22" s="10" t="s">
        <v>18</v>
      </c>
      <c r="B22" s="13" t="s">
        <v>81</v>
      </c>
      <c r="C22" s="11"/>
      <c r="D22" s="46"/>
      <c r="E22" s="49"/>
      <c r="F22" s="49"/>
    </row>
    <row r="23" spans="1:6" ht="25.5" customHeight="1" x14ac:dyDescent="0.25">
      <c r="A23" s="44">
        <v>1</v>
      </c>
      <c r="B23" s="12" t="s">
        <v>72</v>
      </c>
      <c r="C23" s="11">
        <v>10</v>
      </c>
      <c r="D23" s="46"/>
      <c r="E23" s="49">
        <v>3438134319</v>
      </c>
      <c r="F23" s="49">
        <v>2048568829</v>
      </c>
    </row>
    <row r="24" spans="1:6" ht="25.5" customHeight="1" x14ac:dyDescent="0.25">
      <c r="A24" s="44">
        <v>2</v>
      </c>
      <c r="B24" s="12" t="s">
        <v>76</v>
      </c>
      <c r="C24" s="11">
        <v>11</v>
      </c>
      <c r="D24" s="47"/>
      <c r="E24" s="49">
        <f>1797376693+1581439942</f>
        <v>3378816635</v>
      </c>
      <c r="F24" s="49">
        <f>1077596939+936727941</f>
        <v>2014324880</v>
      </c>
    </row>
    <row r="25" spans="1:6" s="66" customFormat="1" ht="25.5" customHeight="1" x14ac:dyDescent="0.25">
      <c r="A25" s="61">
        <v>3</v>
      </c>
      <c r="B25" s="62" t="s">
        <v>80</v>
      </c>
      <c r="C25" s="63">
        <v>12</v>
      </c>
      <c r="D25" s="62"/>
      <c r="E25" s="65">
        <f t="shared" ref="E25:F25" si="0">E23-E24</f>
        <v>59317684</v>
      </c>
      <c r="F25" s="65">
        <f t="shared" si="0"/>
        <v>34243949</v>
      </c>
    </row>
    <row r="26" spans="1:6" ht="25.5" customHeight="1" x14ac:dyDescent="0.25">
      <c r="A26" s="10" t="s">
        <v>20</v>
      </c>
      <c r="B26" s="13" t="s">
        <v>82</v>
      </c>
      <c r="C26" s="11"/>
      <c r="D26" s="46"/>
      <c r="E26" s="49"/>
      <c r="F26" s="49"/>
    </row>
    <row r="27" spans="1:6" ht="25.5" customHeight="1" x14ac:dyDescent="0.25">
      <c r="A27" s="44">
        <v>1</v>
      </c>
      <c r="B27" s="12" t="s">
        <v>72</v>
      </c>
      <c r="C27" s="11">
        <v>20</v>
      </c>
      <c r="D27" s="46"/>
      <c r="E27" s="49">
        <v>699418</v>
      </c>
      <c r="F27" s="49">
        <v>1045960</v>
      </c>
    </row>
    <row r="28" spans="1:6" ht="25.5" customHeight="1" x14ac:dyDescent="0.25">
      <c r="A28" s="44">
        <v>2</v>
      </c>
      <c r="B28" s="12" t="s">
        <v>76</v>
      </c>
      <c r="C28" s="11">
        <v>21</v>
      </c>
      <c r="D28" s="46"/>
      <c r="E28" s="49">
        <v>3197430</v>
      </c>
      <c r="F28" s="49"/>
    </row>
    <row r="29" spans="1:6" s="66" customFormat="1" ht="25.5" customHeight="1" x14ac:dyDescent="0.25">
      <c r="A29" s="61">
        <v>3</v>
      </c>
      <c r="B29" s="62" t="s">
        <v>80</v>
      </c>
      <c r="C29" s="63">
        <v>22</v>
      </c>
      <c r="D29" s="64"/>
      <c r="E29" s="65">
        <f t="shared" ref="E29:F29" si="1">E27-E28</f>
        <v>-2498012</v>
      </c>
      <c r="F29" s="65">
        <f t="shared" si="1"/>
        <v>1045960</v>
      </c>
    </row>
    <row r="30" spans="1:6" ht="25.5" customHeight="1" x14ac:dyDescent="0.25">
      <c r="A30" s="10" t="s">
        <v>25</v>
      </c>
      <c r="B30" s="13" t="s">
        <v>83</v>
      </c>
      <c r="C30" s="11"/>
      <c r="D30" s="12"/>
      <c r="E30" s="49"/>
      <c r="F30" s="49"/>
    </row>
    <row r="31" spans="1:6" ht="25.5" customHeight="1" x14ac:dyDescent="0.25">
      <c r="A31" s="44">
        <v>1</v>
      </c>
      <c r="B31" s="12" t="s">
        <v>84</v>
      </c>
      <c r="C31" s="11">
        <v>30</v>
      </c>
      <c r="D31" s="12"/>
      <c r="E31" s="49"/>
      <c r="F31" s="49"/>
    </row>
    <row r="32" spans="1:6" ht="25.5" customHeight="1" x14ac:dyDescent="0.25">
      <c r="A32" s="44">
        <v>2</v>
      </c>
      <c r="B32" s="12" t="s">
        <v>85</v>
      </c>
      <c r="C32" s="11">
        <v>31</v>
      </c>
      <c r="D32" s="47"/>
      <c r="E32" s="49">
        <v>1406860</v>
      </c>
      <c r="F32" s="49">
        <v>536176</v>
      </c>
    </row>
    <row r="33" spans="1:6" s="66" customFormat="1" ht="25.5" customHeight="1" x14ac:dyDescent="0.25">
      <c r="A33" s="61">
        <v>3</v>
      </c>
      <c r="B33" s="62" t="s">
        <v>80</v>
      </c>
      <c r="C33" s="63">
        <v>32</v>
      </c>
      <c r="D33" s="62"/>
      <c r="E33" s="65">
        <f t="shared" ref="E33:F33" si="2">E31-E32</f>
        <v>-1406860</v>
      </c>
      <c r="F33" s="65">
        <f t="shared" si="2"/>
        <v>-536176</v>
      </c>
    </row>
    <row r="34" spans="1:6" ht="22.5" customHeight="1" x14ac:dyDescent="0.25">
      <c r="A34" s="10" t="s">
        <v>27</v>
      </c>
      <c r="B34" s="13" t="s">
        <v>86</v>
      </c>
      <c r="C34" s="11">
        <v>40</v>
      </c>
      <c r="D34" s="12"/>
      <c r="E34" s="49">
        <v>11363934</v>
      </c>
      <c r="F34" s="49">
        <v>7057982</v>
      </c>
    </row>
    <row r="35" spans="1:6" ht="34.5" customHeight="1" x14ac:dyDescent="0.25">
      <c r="A35" s="10" t="s">
        <v>29</v>
      </c>
      <c r="B35" s="10" t="s">
        <v>87</v>
      </c>
      <c r="C35" s="11">
        <v>45</v>
      </c>
      <c r="D35" s="12"/>
      <c r="E35" s="49"/>
      <c r="F35" s="49"/>
    </row>
    <row r="36" spans="1:6" s="68" customFormat="1" ht="21" customHeight="1" x14ac:dyDescent="0.25">
      <c r="A36" s="52" t="s">
        <v>35</v>
      </c>
      <c r="B36" s="58" t="s">
        <v>88</v>
      </c>
      <c r="C36" s="53">
        <v>50</v>
      </c>
      <c r="D36" s="58"/>
      <c r="E36" s="67">
        <f>E25+E29+E33-E34+E35</f>
        <v>44048878</v>
      </c>
      <c r="F36" s="67">
        <f t="shared" ref="F36" si="3">F25+F29+F33-F34+F35</f>
        <v>27695751</v>
      </c>
    </row>
    <row r="37" spans="1:6" ht="30.75" customHeight="1" x14ac:dyDescent="0.25">
      <c r="A37" s="44">
        <v>1</v>
      </c>
      <c r="B37" s="48" t="s">
        <v>89</v>
      </c>
      <c r="C37" s="11">
        <v>51</v>
      </c>
      <c r="D37" s="12"/>
      <c r="E37" s="49"/>
      <c r="F37" s="49"/>
    </row>
    <row r="38" spans="1:6" ht="21" customHeight="1" x14ac:dyDescent="0.25">
      <c r="A38" s="44">
        <v>2</v>
      </c>
      <c r="B38" s="12" t="s">
        <v>90</v>
      </c>
      <c r="C38" s="11">
        <v>52</v>
      </c>
      <c r="D38" s="12"/>
      <c r="E38" s="49"/>
      <c r="F38" s="49"/>
    </row>
    <row r="39" spans="1:6" ht="21" customHeight="1" x14ac:dyDescent="0.25">
      <c r="A39" s="44">
        <v>3</v>
      </c>
      <c r="B39" s="12" t="s">
        <v>91</v>
      </c>
      <c r="C39" s="11">
        <v>53</v>
      </c>
      <c r="D39" s="12"/>
      <c r="E39" s="49"/>
      <c r="F39" s="49"/>
    </row>
    <row r="40" spans="1:6" ht="21" customHeight="1" x14ac:dyDescent="0.25">
      <c r="A40" s="44">
        <v>4</v>
      </c>
      <c r="B40" s="12" t="s">
        <v>92</v>
      </c>
      <c r="C40" s="11">
        <v>54</v>
      </c>
      <c r="D40" s="12"/>
      <c r="E40" s="49"/>
      <c r="F40" s="49"/>
    </row>
    <row r="41" spans="1:6" ht="21" customHeight="1" x14ac:dyDescent="0.25">
      <c r="A41" s="5"/>
    </row>
    <row r="42" spans="1:6" ht="21" customHeight="1" x14ac:dyDescent="0.25">
      <c r="A42" s="2"/>
      <c r="B42" s="2"/>
      <c r="D42" s="31"/>
      <c r="E42" s="31" t="s">
        <v>140</v>
      </c>
      <c r="F42" s="30"/>
    </row>
    <row r="43" spans="1:6" ht="21" customHeight="1" x14ac:dyDescent="0.25">
      <c r="A43" s="36" t="s">
        <v>61</v>
      </c>
      <c r="C43" s="16" t="s">
        <v>58</v>
      </c>
      <c r="D43" s="30"/>
      <c r="E43" s="19" t="s">
        <v>63</v>
      </c>
      <c r="F43" s="30"/>
    </row>
    <row r="44" spans="1:6" ht="21" customHeight="1" x14ac:dyDescent="0.25">
      <c r="A44" s="8" t="s">
        <v>62</v>
      </c>
      <c r="C44" s="3" t="s">
        <v>59</v>
      </c>
      <c r="D44" s="30"/>
      <c r="E44" s="22" t="s">
        <v>64</v>
      </c>
      <c r="F44" s="30"/>
    </row>
    <row r="45" spans="1:6" ht="21" customHeight="1" x14ac:dyDescent="0.25">
      <c r="A45" s="5"/>
    </row>
    <row r="46" spans="1:6" ht="15.75" x14ac:dyDescent="0.25">
      <c r="A46" s="5"/>
    </row>
    <row r="47" spans="1:6" ht="23.25" customHeight="1" x14ac:dyDescent="0.25">
      <c r="A47" s="5"/>
    </row>
    <row r="48" spans="1:6" ht="17.25" customHeight="1" x14ac:dyDescent="0.25">
      <c r="B48" s="78" t="s">
        <v>134</v>
      </c>
      <c r="C48" s="78"/>
      <c r="D48" s="78"/>
      <c r="E48" s="78" t="s">
        <v>135</v>
      </c>
    </row>
    <row r="49" ht="18" customHeight="1" x14ac:dyDescent="0.25"/>
  </sheetData>
  <mergeCells count="2">
    <mergeCell ref="A6:F6"/>
    <mergeCell ref="A7:F7"/>
  </mergeCells>
  <pageMargins left="0.45" right="0.2" top="0.5" bottom="0.3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E11C-F5E0-4B74-9EF9-5938A9F175CD}">
  <dimension ref="A1:F49"/>
  <sheetViews>
    <sheetView tabSelected="1" topLeftCell="A3" workbookViewId="0">
      <pane xSplit="6" ySplit="8" topLeftCell="G11" activePane="bottomRight" state="frozen"/>
      <selection activeCell="A3" sqref="A3"/>
      <selection pane="topRight" activeCell="G3" sqref="G3"/>
      <selection pane="bottomLeft" activeCell="A11" sqref="A11"/>
      <selection pane="bottomRight" activeCell="A12" sqref="A12:F38"/>
    </sheetView>
  </sheetViews>
  <sheetFormatPr defaultRowHeight="15" x14ac:dyDescent="0.25"/>
  <cols>
    <col min="1" max="1" width="5.42578125" customWidth="1"/>
    <col min="2" max="2" width="31.28515625" customWidth="1"/>
    <col min="3" max="3" width="8.140625" customWidth="1"/>
    <col min="4" max="4" width="12.85546875" customWidth="1"/>
    <col min="5" max="6" width="19.7109375" customWidth="1"/>
  </cols>
  <sheetData>
    <row r="1" spans="1:6" ht="17.25" customHeight="1" x14ac:dyDescent="0.25">
      <c r="A1" s="17" t="s">
        <v>133</v>
      </c>
      <c r="C1" s="37" t="s">
        <v>65</v>
      </c>
      <c r="D1" s="18"/>
      <c r="E1" s="19" t="s">
        <v>93</v>
      </c>
      <c r="F1" s="20"/>
    </row>
    <row r="2" spans="1:6" ht="15.75" x14ac:dyDescent="0.25">
      <c r="A2" s="69" t="s">
        <v>132</v>
      </c>
      <c r="B2" s="1"/>
      <c r="D2" s="18"/>
      <c r="E2" s="21" t="s">
        <v>1</v>
      </c>
      <c r="F2" s="22"/>
    </row>
    <row r="3" spans="1:6" ht="15.75" x14ac:dyDescent="0.25">
      <c r="A3" s="17"/>
      <c r="B3" s="1"/>
      <c r="D3" s="18"/>
      <c r="E3" s="21" t="s">
        <v>2</v>
      </c>
      <c r="F3" s="22"/>
    </row>
    <row r="4" spans="1:6" ht="15.75" x14ac:dyDescent="0.25">
      <c r="A4" s="17"/>
      <c r="B4" s="1"/>
      <c r="D4" s="18"/>
      <c r="E4" s="21" t="s">
        <v>3</v>
      </c>
      <c r="F4" s="22"/>
    </row>
    <row r="5" spans="1:6" ht="15.75" x14ac:dyDescent="0.25">
      <c r="A5" s="50"/>
    </row>
    <row r="6" spans="1:6" ht="22.5" customHeight="1" x14ac:dyDescent="0.25">
      <c r="A6" s="81" t="s">
        <v>94</v>
      </c>
      <c r="B6" s="81"/>
      <c r="C6" s="81"/>
      <c r="D6" s="81"/>
      <c r="E6" s="81"/>
      <c r="F6" s="81"/>
    </row>
    <row r="7" spans="1:6" ht="16.5" customHeight="1" x14ac:dyDescent="0.25">
      <c r="A7" s="82" t="s">
        <v>95</v>
      </c>
      <c r="B7" s="82"/>
      <c r="C7" s="82"/>
      <c r="D7" s="82"/>
      <c r="E7" s="82"/>
      <c r="F7" s="82"/>
    </row>
    <row r="8" spans="1:6" ht="17.25" customHeight="1" x14ac:dyDescent="0.25">
      <c r="A8" s="83" t="s">
        <v>141</v>
      </c>
      <c r="B8" s="83"/>
      <c r="C8" s="83"/>
      <c r="D8" s="83"/>
      <c r="E8" s="83"/>
      <c r="F8" s="83"/>
    </row>
    <row r="9" spans="1:6" ht="15.75" x14ac:dyDescent="0.25">
      <c r="A9" s="51"/>
      <c r="F9" s="51" t="s">
        <v>68</v>
      </c>
    </row>
    <row r="10" spans="1:6" ht="23.25" customHeight="1" x14ac:dyDescent="0.25">
      <c r="A10" s="52" t="s">
        <v>5</v>
      </c>
      <c r="B10" s="53" t="s">
        <v>6</v>
      </c>
      <c r="C10" s="53" t="s">
        <v>7</v>
      </c>
      <c r="D10" s="53" t="s">
        <v>8</v>
      </c>
      <c r="E10" s="53" t="s">
        <v>69</v>
      </c>
      <c r="F10" s="53" t="s">
        <v>70</v>
      </c>
    </row>
    <row r="11" spans="1:6" ht="15.75" x14ac:dyDescent="0.25">
      <c r="A11" s="54" t="s">
        <v>11</v>
      </c>
      <c r="B11" s="55" t="s">
        <v>12</v>
      </c>
      <c r="C11" s="55" t="s">
        <v>13</v>
      </c>
      <c r="D11" s="55" t="s">
        <v>14</v>
      </c>
      <c r="E11" s="55">
        <v>1</v>
      </c>
      <c r="F11" s="55">
        <v>2</v>
      </c>
    </row>
    <row r="12" spans="1:6" ht="20.25" customHeight="1" x14ac:dyDescent="0.25">
      <c r="A12" s="56" t="s">
        <v>16</v>
      </c>
      <c r="B12" s="57" t="s">
        <v>96</v>
      </c>
      <c r="C12" s="84"/>
      <c r="D12" s="85"/>
      <c r="E12" s="86"/>
      <c r="F12" s="86"/>
    </row>
    <row r="13" spans="1:6" ht="22.5" customHeight="1" x14ac:dyDescent="0.25">
      <c r="A13" s="87"/>
      <c r="B13" s="88" t="s">
        <v>88</v>
      </c>
      <c r="C13" s="84">
        <v>1</v>
      </c>
      <c r="D13" s="85"/>
      <c r="E13" s="86"/>
      <c r="F13" s="86"/>
    </row>
    <row r="14" spans="1:6" s="59" customFormat="1" ht="23.25" customHeight="1" x14ac:dyDescent="0.25">
      <c r="A14" s="56"/>
      <c r="B14" s="57" t="s">
        <v>97</v>
      </c>
      <c r="C14" s="89"/>
      <c r="D14" s="90"/>
      <c r="E14" s="91"/>
      <c r="F14" s="91"/>
    </row>
    <row r="15" spans="1:6" ht="31.5" customHeight="1" x14ac:dyDescent="0.25">
      <c r="A15" s="87">
        <v>1</v>
      </c>
      <c r="B15" s="88" t="s">
        <v>98</v>
      </c>
      <c r="C15" s="84">
        <v>2</v>
      </c>
      <c r="D15" s="85"/>
      <c r="E15" s="86"/>
      <c r="F15" s="86"/>
    </row>
    <row r="16" spans="1:6" ht="31.5" customHeight="1" x14ac:dyDescent="0.25">
      <c r="A16" s="87">
        <v>2</v>
      </c>
      <c r="B16" s="88" t="s">
        <v>99</v>
      </c>
      <c r="C16" s="84">
        <v>3</v>
      </c>
      <c r="D16" s="85"/>
      <c r="E16" s="95">
        <v>-1106146594</v>
      </c>
      <c r="F16" s="96">
        <v>418550936</v>
      </c>
    </row>
    <row r="17" spans="1:6" ht="20.25" customHeight="1" x14ac:dyDescent="0.25">
      <c r="A17" s="87">
        <v>3</v>
      </c>
      <c r="B17" s="88" t="s">
        <v>100</v>
      </c>
      <c r="C17" s="84">
        <v>4</v>
      </c>
      <c r="D17" s="85"/>
      <c r="E17" s="96">
        <v>734350000</v>
      </c>
      <c r="F17" s="96">
        <v>0</v>
      </c>
    </row>
    <row r="18" spans="1:6" ht="20.25" customHeight="1" x14ac:dyDescent="0.25">
      <c r="A18" s="87">
        <v>4</v>
      </c>
      <c r="B18" s="88" t="s">
        <v>101</v>
      </c>
      <c r="C18" s="84">
        <v>5</v>
      </c>
      <c r="D18" s="85"/>
      <c r="E18" s="96">
        <v>346413157</v>
      </c>
      <c r="F18" s="95">
        <v>-345473973</v>
      </c>
    </row>
    <row r="19" spans="1:6" ht="30.75" customHeight="1" x14ac:dyDescent="0.25">
      <c r="A19" s="92">
        <v>5</v>
      </c>
      <c r="B19" s="88" t="s">
        <v>102</v>
      </c>
      <c r="C19" s="84">
        <v>6</v>
      </c>
      <c r="D19" s="88"/>
      <c r="E19" s="86"/>
      <c r="F19" s="86"/>
    </row>
    <row r="20" spans="1:6" ht="22.5" customHeight="1" x14ac:dyDescent="0.25">
      <c r="A20" s="87">
        <v>6</v>
      </c>
      <c r="B20" s="88" t="s">
        <v>103</v>
      </c>
      <c r="C20" s="84">
        <v>7</v>
      </c>
      <c r="D20" s="88"/>
      <c r="E20" s="86"/>
      <c r="F20" s="86"/>
    </row>
    <row r="21" spans="1:6" s="59" customFormat="1" ht="30" customHeight="1" x14ac:dyDescent="0.25">
      <c r="A21" s="56"/>
      <c r="B21" s="93" t="s">
        <v>104</v>
      </c>
      <c r="C21" s="89">
        <v>10</v>
      </c>
      <c r="D21" s="57"/>
      <c r="E21" s="91">
        <f>SUM(E13:E20)</f>
        <v>-25383437</v>
      </c>
      <c r="F21" s="91">
        <f>SUM(F13:F20)</f>
        <v>73076963</v>
      </c>
    </row>
    <row r="22" spans="1:6" s="59" customFormat="1" ht="20.25" customHeight="1" x14ac:dyDescent="0.25">
      <c r="A22" s="56" t="s">
        <v>18</v>
      </c>
      <c r="B22" s="57" t="s">
        <v>105</v>
      </c>
      <c r="C22" s="89"/>
      <c r="D22" s="57"/>
      <c r="E22" s="91"/>
      <c r="F22" s="91"/>
    </row>
    <row r="23" spans="1:6" ht="25.5" customHeight="1" x14ac:dyDescent="0.25">
      <c r="A23" s="87">
        <v>1</v>
      </c>
      <c r="B23" s="88" t="s">
        <v>106</v>
      </c>
      <c r="C23" s="84">
        <v>21</v>
      </c>
      <c r="D23" s="88"/>
      <c r="E23" s="86"/>
      <c r="F23" s="86"/>
    </row>
    <row r="24" spans="1:6" ht="25.5" customHeight="1" x14ac:dyDescent="0.25">
      <c r="A24" s="87">
        <v>2</v>
      </c>
      <c r="B24" s="88" t="s">
        <v>107</v>
      </c>
      <c r="C24" s="84">
        <v>22</v>
      </c>
      <c r="D24" s="88"/>
      <c r="E24" s="86"/>
      <c r="F24" s="86"/>
    </row>
    <row r="25" spans="1:6" ht="27" customHeight="1" x14ac:dyDescent="0.25">
      <c r="A25" s="87">
        <v>3</v>
      </c>
      <c r="B25" s="92" t="s">
        <v>108</v>
      </c>
      <c r="C25" s="84">
        <v>23</v>
      </c>
      <c r="D25" s="88"/>
      <c r="E25" s="86"/>
      <c r="F25" s="86"/>
    </row>
    <row r="26" spans="1:6" ht="30" customHeight="1" x14ac:dyDescent="0.25">
      <c r="A26" s="87">
        <v>4</v>
      </c>
      <c r="B26" s="92" t="s">
        <v>109</v>
      </c>
      <c r="C26" s="84">
        <v>24</v>
      </c>
      <c r="D26" s="88"/>
      <c r="E26" s="86"/>
      <c r="F26" s="86"/>
    </row>
    <row r="27" spans="1:6" s="59" customFormat="1" ht="28.5" customHeight="1" x14ac:dyDescent="0.25">
      <c r="A27" s="56"/>
      <c r="B27" s="94" t="s">
        <v>110</v>
      </c>
      <c r="C27" s="89">
        <v>30</v>
      </c>
      <c r="D27" s="57"/>
      <c r="E27" s="91">
        <f>SUM(E23:E26)</f>
        <v>0</v>
      </c>
      <c r="F27" s="91">
        <f>SUM(F23:F26)</f>
        <v>0</v>
      </c>
    </row>
    <row r="28" spans="1:6" s="59" customFormat="1" ht="25.5" customHeight="1" x14ac:dyDescent="0.25">
      <c r="A28" s="56" t="s">
        <v>20</v>
      </c>
      <c r="B28" s="57" t="s">
        <v>111</v>
      </c>
      <c r="C28" s="89"/>
      <c r="D28" s="57"/>
      <c r="E28" s="91"/>
      <c r="F28" s="91"/>
    </row>
    <row r="29" spans="1:6" ht="25.5" customHeight="1" x14ac:dyDescent="0.25">
      <c r="A29" s="87">
        <v>1</v>
      </c>
      <c r="B29" s="88" t="s">
        <v>112</v>
      </c>
      <c r="C29" s="84">
        <v>31</v>
      </c>
      <c r="D29" s="88"/>
      <c r="E29" s="86"/>
      <c r="F29" s="86"/>
    </row>
    <row r="30" spans="1:6" ht="25.5" customHeight="1" x14ac:dyDescent="0.25">
      <c r="A30" s="87">
        <v>2</v>
      </c>
      <c r="B30" s="88" t="s">
        <v>113</v>
      </c>
      <c r="C30" s="84">
        <v>32</v>
      </c>
      <c r="D30" s="88"/>
      <c r="E30" s="86"/>
      <c r="F30" s="86"/>
    </row>
    <row r="31" spans="1:6" ht="25.5" customHeight="1" x14ac:dyDescent="0.25">
      <c r="A31" s="87">
        <v>3</v>
      </c>
      <c r="B31" s="88" t="s">
        <v>114</v>
      </c>
      <c r="C31" s="84">
        <v>33</v>
      </c>
      <c r="D31" s="88"/>
      <c r="E31" s="86"/>
      <c r="F31" s="86"/>
    </row>
    <row r="32" spans="1:6" ht="25.5" customHeight="1" x14ac:dyDescent="0.25">
      <c r="A32" s="87">
        <v>4</v>
      </c>
      <c r="B32" s="88" t="s">
        <v>115</v>
      </c>
      <c r="C32" s="84">
        <v>34</v>
      </c>
      <c r="D32" s="88"/>
      <c r="E32" s="86"/>
      <c r="F32" s="86"/>
    </row>
    <row r="33" spans="1:6" ht="27.75" customHeight="1" x14ac:dyDescent="0.25">
      <c r="A33" s="87">
        <v>5</v>
      </c>
      <c r="B33" s="92" t="s">
        <v>116</v>
      </c>
      <c r="C33" s="84">
        <v>35</v>
      </c>
      <c r="D33" s="88"/>
      <c r="E33" s="86"/>
      <c r="F33" s="86"/>
    </row>
    <row r="34" spans="1:6" s="59" customFormat="1" ht="27" customHeight="1" x14ac:dyDescent="0.25">
      <c r="A34" s="56"/>
      <c r="B34" s="94" t="s">
        <v>117</v>
      </c>
      <c r="C34" s="89">
        <v>40</v>
      </c>
      <c r="D34" s="57"/>
      <c r="E34" s="91">
        <f>SUM(E29:E33)</f>
        <v>0</v>
      </c>
      <c r="F34" s="91">
        <f>SUM(F29:F33)</f>
        <v>0</v>
      </c>
    </row>
    <row r="35" spans="1:6" s="59" customFormat="1" ht="34.5" customHeight="1" x14ac:dyDescent="0.25">
      <c r="A35" s="56" t="s">
        <v>25</v>
      </c>
      <c r="B35" s="94" t="s">
        <v>118</v>
      </c>
      <c r="C35" s="89">
        <v>50</v>
      </c>
      <c r="D35" s="57"/>
      <c r="E35" s="91">
        <f>E21+E27+E34</f>
        <v>-25383437</v>
      </c>
      <c r="F35" s="91">
        <f>F21+F27+F34</f>
        <v>73076963</v>
      </c>
    </row>
    <row r="36" spans="1:6" s="59" customFormat="1" ht="21" customHeight="1" x14ac:dyDescent="0.25">
      <c r="A36" s="56" t="s">
        <v>27</v>
      </c>
      <c r="B36" s="57" t="s">
        <v>119</v>
      </c>
      <c r="C36" s="89">
        <v>60</v>
      </c>
      <c r="D36" s="57"/>
      <c r="E36" s="97">
        <v>291160167</v>
      </c>
      <c r="F36" s="97">
        <v>196428365</v>
      </c>
    </row>
    <row r="37" spans="1:6" s="59" customFormat="1" ht="30.75" customHeight="1" x14ac:dyDescent="0.25">
      <c r="A37" s="56" t="s">
        <v>29</v>
      </c>
      <c r="B37" s="94" t="s">
        <v>120</v>
      </c>
      <c r="C37" s="89">
        <v>70</v>
      </c>
      <c r="D37" s="57"/>
      <c r="E37" s="91"/>
      <c r="F37" s="91"/>
    </row>
    <row r="38" spans="1:6" s="59" customFormat="1" ht="21" customHeight="1" x14ac:dyDescent="0.25">
      <c r="A38" s="56" t="s">
        <v>35</v>
      </c>
      <c r="B38" s="57" t="s">
        <v>121</v>
      </c>
      <c r="C38" s="89">
        <v>80</v>
      </c>
      <c r="D38" s="57"/>
      <c r="E38" s="97">
        <v>338608433</v>
      </c>
      <c r="F38" s="97">
        <v>291160167</v>
      </c>
    </row>
    <row r="39" spans="1:6" ht="21" customHeight="1" x14ac:dyDescent="0.25">
      <c r="A39" s="50"/>
    </row>
    <row r="40" spans="1:6" ht="21" customHeight="1" x14ac:dyDescent="0.25">
      <c r="A40" s="2"/>
      <c r="B40" s="2"/>
      <c r="D40" s="31"/>
      <c r="E40" s="31" t="s">
        <v>142</v>
      </c>
      <c r="F40" s="30"/>
    </row>
    <row r="41" spans="1:6" ht="21" customHeight="1" x14ac:dyDescent="0.25">
      <c r="A41" s="36" t="s">
        <v>122</v>
      </c>
      <c r="C41" s="16" t="s">
        <v>123</v>
      </c>
      <c r="D41" s="30"/>
      <c r="E41" s="19" t="s">
        <v>124</v>
      </c>
      <c r="F41" s="30"/>
    </row>
    <row r="42" spans="1:6" ht="21" customHeight="1" x14ac:dyDescent="0.25">
      <c r="A42" s="8" t="s">
        <v>125</v>
      </c>
      <c r="C42" s="3" t="s">
        <v>59</v>
      </c>
      <c r="D42" s="30"/>
      <c r="E42" s="22" t="s">
        <v>126</v>
      </c>
      <c r="F42" s="30"/>
    </row>
    <row r="43" spans="1:6" ht="21" customHeight="1" x14ac:dyDescent="0.25"/>
    <row r="44" spans="1:6" ht="21" customHeight="1" x14ac:dyDescent="0.25"/>
    <row r="45" spans="1:6" ht="21" customHeight="1" x14ac:dyDescent="0.25"/>
    <row r="46" spans="1:6" ht="17.25" customHeight="1" x14ac:dyDescent="0.25">
      <c r="B46" s="78" t="s">
        <v>134</v>
      </c>
      <c r="C46" s="78"/>
      <c r="D46" s="78"/>
      <c r="E46" s="78" t="s">
        <v>135</v>
      </c>
    </row>
    <row r="47" spans="1:6" ht="23.25" customHeight="1" x14ac:dyDescent="0.25"/>
    <row r="48" spans="1:6" ht="17.25" customHeight="1" x14ac:dyDescent="0.25"/>
    <row r="49" ht="18" customHeight="1" x14ac:dyDescent="0.25"/>
  </sheetData>
  <mergeCells count="3">
    <mergeCell ref="A6:F6"/>
    <mergeCell ref="A7:F7"/>
    <mergeCell ref="A8:F8"/>
  </mergeCells>
  <pageMargins left="0.45" right="0.2" top="0.5" bottom="0.3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BCTC TH B01</vt:lpstr>
      <vt:lpstr>BCKQHĐ TH B02</vt:lpstr>
      <vt:lpstr>BCLCTT TH B03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</dc:creator>
  <cp:lastModifiedBy>Hang Giau</cp:lastModifiedBy>
  <cp:lastPrinted>2024-04-12T08:01:02Z</cp:lastPrinted>
  <dcterms:created xsi:type="dcterms:W3CDTF">2024-03-13T08:23:32Z</dcterms:created>
  <dcterms:modified xsi:type="dcterms:W3CDTF">2025-04-03T05:43:28Z</dcterms:modified>
</cp:coreProperties>
</file>